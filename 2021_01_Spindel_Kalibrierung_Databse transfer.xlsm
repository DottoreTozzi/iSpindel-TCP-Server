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3A6AEC2A-4109-4FA0-B2F4-7E5F08425707}" xr6:coauthVersionLast="36" xr6:coauthVersionMax="36" xr10:uidLastSave="{00000000-0000-0000-0000-000000000000}"/>
  <bookViews>
    <workbookView xWindow="0" yWindow="0" windowWidth="28800" windowHeight="14025" xr2:uid="{00000000-000D-0000-FFFF-FFFF00000000}"/>
  </bookViews>
  <sheets>
    <sheet name="Calibration" sheetId="1" r:id="rId1"/>
    <sheet name="Database Connec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</calcChain>
</file>

<file path=xl/sharedStrings.xml><?xml version="1.0" encoding="utf-8"?>
<sst xmlns="http://schemas.openxmlformats.org/spreadsheetml/2006/main" count="47" uniqueCount="46">
  <si>
    <t/>
  </si>
  <si>
    <t>Plato Formel:</t>
  </si>
  <si>
    <t>b</t>
  </si>
  <si>
    <t>x</t>
  </si>
  <si>
    <t>3rd degree</t>
  </si>
  <si>
    <t xml:space="preserve">2nd degree </t>
  </si>
  <si>
    <t>Cal from Database</t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</si>
  <si>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</si>
  <si>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</si>
  <si>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SERVER</t>
  </si>
  <si>
    <t>Parameter</t>
  </si>
  <si>
    <t>Value</t>
  </si>
  <si>
    <t>DATABASE</t>
  </si>
  <si>
    <t>PORT</t>
  </si>
  <si>
    <t>UID</t>
  </si>
  <si>
    <t>PWD</t>
  </si>
  <si>
    <t>iSpindle</t>
  </si>
  <si>
    <t>CHARSET</t>
  </si>
  <si>
    <t>utf8mb4</t>
  </si>
  <si>
    <t>DRIVER</t>
  </si>
  <si>
    <t>{MariaDB ODBC 3.1 Driver}</t>
  </si>
  <si>
    <t>measured angle (°)</t>
  </si>
  <si>
    <t>measured °Plato</t>
  </si>
  <si>
    <t>3rd degree:</t>
  </si>
  <si>
    <t>2nd degree:</t>
  </si>
  <si>
    <t>2nd delta °P</t>
  </si>
  <si>
    <t>3rd delta °P</t>
  </si>
  <si>
    <t>Remark</t>
  </si>
  <si>
    <t>has to be a string</t>
  </si>
  <si>
    <t>Install Mysql or MariadDB ODBC driver in Windows</t>
  </si>
  <si>
    <t>Type ODBC in windows search and start odbc data sources</t>
  </si>
  <si>
    <t>Add data source under USER DSN (e.g. MariaDB</t>
  </si>
  <si>
    <t>Add a Name and Descriptio on fist page (e.g. iSPindle and iSpindle Database)</t>
  </si>
  <si>
    <t>Add TCP/IP Address of your server and Database port of your msql server. Typical port is 3306</t>
  </si>
  <si>
    <t>Select databse (e.g. iSpindle)</t>
  </si>
  <si>
    <t>Test connection shows you  window like in the screenshot</t>
  </si>
  <si>
    <t>In case charset is not utf8mb4 you should select this</t>
  </si>
  <si>
    <t>proceed unti finish w/o additionl entries</t>
  </si>
  <si>
    <t>Enter information from your screenshot into fields B2 to B8</t>
  </si>
  <si>
    <t>Value of SERVER has to be a string</t>
  </si>
  <si>
    <t>Enter your Calibration iSpindel ID:</t>
  </si>
  <si>
    <t>Add DB User Name and Password (e.G. iSpindle and ohyeah)</t>
  </si>
  <si>
    <t>192.168.163.105</t>
  </si>
  <si>
    <t>0.0005797*tilt^3 - 0.0645469*tilt^2 + 2.5245813*tilt - 31.7400717</t>
  </si>
  <si>
    <t>0.0217284*tilt^2 - 1.7054899*tilt + 36.5361944</t>
  </si>
  <si>
    <t>ohyeah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</si>
</sst>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 \°\P"/>
    <numFmt numFmtId="165" formatCode="0.000"/>
    <numFmt numFmtId="166" formatCode="0.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textRotation="45" wrapText="1"/>
    </xf>
    <xf numFmtId="0" fontId="1" fillId="2" borderId="0" xfId="3"/>
    <xf numFmtId="0" fontId="0" fillId="0" borderId="0" xfId="0" quotePrefix="1"/>
    <xf numFmtId="164" fontId="0" fillId="0" borderId="0" xfId="0" applyNumberFormat="1" applyProtection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6" xfId="0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0" fillId="0" borderId="0" xfId="0" applyAlignment="1">
      <alignment vertical="center" wrapText="1"/>
    </xf>
    <xf numFmtId="0" fontId="6" fillId="2" borderId="0" xfId="3" applyFont="1"/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alignment vertical="center"/>
      <protection locked="0"/>
    </xf>
    <xf numFmtId="49" fontId="0" fillId="0" borderId="4" xfId="0" applyNumberFormat="1" applyBorder="1"/>
    <xf numFmtId="0" fontId="6" fillId="0" borderId="9" xfId="0" applyFont="1" applyBorder="1"/>
    <xf numFmtId="0" fontId="6" fillId="0" borderId="18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7" xfId="0" applyFont="1" applyBorder="1"/>
    <xf numFmtId="0" fontId="0" fillId="0" borderId="8" xfId="0" applyFont="1" applyBorder="1"/>
    <xf numFmtId="166" fontId="0" fillId="0" borderId="11" xfId="0" applyNumberFormat="1" applyBorder="1"/>
    <xf numFmtId="166" fontId="0" fillId="0" borderId="15" xfId="0" applyNumberFormat="1" applyBorder="1"/>
    <xf numFmtId="166" fontId="0" fillId="0" borderId="12" xfId="0" applyNumberFormat="1" applyBorder="1"/>
    <xf numFmtId="166" fontId="0" fillId="0" borderId="16" xfId="0" applyNumberFormat="1" applyBorder="1"/>
    <xf numFmtId="166" fontId="0" fillId="0" borderId="13" xfId="0" applyNumberFormat="1" applyBorder="1"/>
    <xf numFmtId="166" fontId="0" fillId="0" borderId="17" xfId="0" applyNumberFormat="1" applyBorder="1"/>
    <xf numFmtId="0" fontId="8" fillId="0" borderId="1" xfId="1" applyFont="1" applyAlignment="1">
      <alignment horizontal="center"/>
    </xf>
    <xf numFmtId="0" fontId="3" fillId="0" borderId="2" xfId="2" applyAlignment="1">
      <alignment horizontal="center"/>
    </xf>
  </cellXfs>
  <cellStyles count="4">
    <cellStyle name="40 % - Akzent2" xfId="3" builtinId="35"/>
    <cellStyle name="Standard" xfId="0" builtinId="0"/>
    <cellStyle name="Überschrift 1" xfId="1" builtinId="16"/>
    <cellStyle name="Überschrift 2" xfId="2" builtinId="17"/>
  </cellStyles>
  <dxfs count="5">
    <dxf>
      <numFmt numFmtId="164" formatCode="0.00\ \°\P"/>
      <protection locked="1" hidden="0"/>
    </dxf>
    <dxf>
      <numFmt numFmtId="164" formatCode="0.00\ \°\P"/>
      <protection locked="1" hidden="0"/>
    </dxf>
    <dxf>
      <protection locked="0" hidden="0"/>
    </dxf>
    <dxf>
      <protection locked="0" hidden="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9384782784508"/>
          <c:y val="2.9153913971086978E-2"/>
          <c:w val="0.83240256732614304"/>
          <c:h val="0.861826661466955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Calibration!$C$3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-0.12573840034701544"/>
                  <c:y val="-1.4513035442503994E-2"/>
                </c:manualLayout>
              </c:layout>
              <c:numFmt formatCode="#,##0.0000000" sourceLinked="0"/>
            </c:trendlineLbl>
          </c:trendline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19649558511068468"/>
                  <c:y val="1.903780817012159E-2"/>
                </c:manualLayout>
              </c:layout>
              <c:numFmt formatCode="#,##0.0000000" sourceLinked="0"/>
            </c:trendlineLbl>
          </c:trendline>
          <c:xVal>
            <c:numRef>
              <c:f>Calibration!$B$4:$B$22</c:f>
              <c:numCache>
                <c:formatCode>0.000</c:formatCode>
                <c:ptCount val="19"/>
                <c:pt idx="0">
                  <c:v>61.1</c:v>
                </c:pt>
                <c:pt idx="1">
                  <c:v>59.4</c:v>
                </c:pt>
                <c:pt idx="2">
                  <c:v>58.5</c:v>
                </c:pt>
                <c:pt idx="3">
                  <c:v>57.78</c:v>
                </c:pt>
                <c:pt idx="4">
                  <c:v>56.9</c:v>
                </c:pt>
                <c:pt idx="5">
                  <c:v>54.6</c:v>
                </c:pt>
                <c:pt idx="6">
                  <c:v>53.2</c:v>
                </c:pt>
                <c:pt idx="7">
                  <c:v>53</c:v>
                </c:pt>
                <c:pt idx="9">
                  <c:v>55.4</c:v>
                </c:pt>
                <c:pt idx="11">
                  <c:v>37.799999999999997</c:v>
                </c:pt>
                <c:pt idx="12" formatCode="General">
                  <c:v>57</c:v>
                </c:pt>
                <c:pt idx="13" formatCode="General">
                  <c:v>50.2</c:v>
                </c:pt>
                <c:pt idx="14" formatCode="General">
                  <c:v>46.6</c:v>
                </c:pt>
                <c:pt idx="15" formatCode="General">
                  <c:v>44.6</c:v>
                </c:pt>
                <c:pt idx="16" formatCode="General">
                  <c:v>44.3</c:v>
                </c:pt>
                <c:pt idx="17" formatCode="General">
                  <c:v>42.3</c:v>
                </c:pt>
                <c:pt idx="18" formatCode="General">
                  <c:v>40.4</c:v>
                </c:pt>
              </c:numCache>
            </c:numRef>
          </c:xVal>
          <c:yVal>
            <c:numRef>
              <c:f>Calibration!$C$4:$C$22</c:f>
              <c:numCache>
                <c:formatCode>0.000</c:formatCode>
                <c:ptCount val="19"/>
                <c:pt idx="0">
                  <c:v>13.2</c:v>
                </c:pt>
                <c:pt idx="1">
                  <c:v>12.1</c:v>
                </c:pt>
                <c:pt idx="2">
                  <c:v>11.5</c:v>
                </c:pt>
                <c:pt idx="3">
                  <c:v>11.2</c:v>
                </c:pt>
                <c:pt idx="4">
                  <c:v>9.8000000000000007</c:v>
                </c:pt>
                <c:pt idx="5">
                  <c:v>7.7</c:v>
                </c:pt>
                <c:pt idx="6">
                  <c:v>6.9</c:v>
                </c:pt>
                <c:pt idx="7">
                  <c:v>6.8</c:v>
                </c:pt>
                <c:pt idx="9">
                  <c:v>8.1999999999999993</c:v>
                </c:pt>
                <c:pt idx="11">
                  <c:v>2.7</c:v>
                </c:pt>
                <c:pt idx="12" formatCode="General">
                  <c:v>10.1</c:v>
                </c:pt>
                <c:pt idx="13" formatCode="General">
                  <c:v>5.6</c:v>
                </c:pt>
                <c:pt idx="14" formatCode="General">
                  <c:v>4.7</c:v>
                </c:pt>
                <c:pt idx="15" formatCode="General">
                  <c:v>4</c:v>
                </c:pt>
                <c:pt idx="16" formatCode="General">
                  <c:v>3.8</c:v>
                </c:pt>
                <c:pt idx="17" formatCode="General">
                  <c:v>3.5</c:v>
                </c:pt>
                <c:pt idx="18" formatCode="General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B7-40DF-86DE-04B161A41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26912"/>
        <c:axId val="177327488"/>
      </c:scatterChart>
      <c:valAx>
        <c:axId val="177326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Winkel °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77327488"/>
        <c:crosses val="autoZero"/>
        <c:crossBetween val="midCat"/>
      </c:valAx>
      <c:valAx>
        <c:axId val="17732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7732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404812</xdr:rowOff>
    </xdr:from>
    <xdr:to>
      <xdr:col>14</xdr:col>
      <xdr:colOff>704850</xdr:colOff>
      <xdr:row>25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9525</xdr:rowOff>
        </xdr:from>
        <xdr:to>
          <xdr:col>2</xdr:col>
          <xdr:colOff>219075</xdr:colOff>
          <xdr:row>25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30</xdr:row>
          <xdr:rowOff>0</xdr:rowOff>
        </xdr:from>
        <xdr:to>
          <xdr:col>3</xdr:col>
          <xdr:colOff>1371600</xdr:colOff>
          <xdr:row>30</xdr:row>
          <xdr:rowOff>285750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Spindle Cal-Data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30</xdr:row>
          <xdr:rowOff>28575</xdr:rowOff>
        </xdr:from>
        <xdr:to>
          <xdr:col>1</xdr:col>
          <xdr:colOff>1343025</xdr:colOff>
          <xdr:row>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3rd 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30</xdr:row>
          <xdr:rowOff>19050</xdr:rowOff>
        </xdr:from>
        <xdr:to>
          <xdr:col>2</xdr:col>
          <xdr:colOff>1371600</xdr:colOff>
          <xdr:row>31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2nd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752475</xdr:colOff>
      <xdr:row>0</xdr:row>
      <xdr:rowOff>0</xdr:rowOff>
    </xdr:from>
    <xdr:to>
      <xdr:col>19</xdr:col>
      <xdr:colOff>29112</xdr:colOff>
      <xdr:row>11</xdr:row>
      <xdr:rowOff>114611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0525" y="0"/>
          <a:ext cx="3848637" cy="22291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E22" totalsRowShown="0" headerRowDxfId="4">
  <autoFilter ref="B3:E22" xr:uid="{00000000-0009-0000-0100-000001000000}"/>
  <tableColumns count="4">
    <tableColumn id="1" xr3:uid="{00000000-0010-0000-0000-000001000000}" name="measured angle (°)" dataDxfId="3"/>
    <tableColumn id="2" xr3:uid="{00000000-0010-0000-0000-000002000000}" name="measured °Plato" dataDxfId="2"/>
    <tableColumn id="3" xr3:uid="{00000000-0010-0000-0000-000003000000}" name="2nd delta °P" dataDxfId="1">
      <calculatedColumnFormula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calculatedColumnFormula>
    </tableColumn>
    <tableColumn id="4" xr3:uid="{6CB3E204-2375-4D34-A454-65B13857FF9D}" name="3rd delta °P" dataDxfId="0">
      <calculatedColumnFormula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ibration"/>
  <dimension ref="A1:F37"/>
  <sheetViews>
    <sheetView tabSelected="1" workbookViewId="0">
      <selection activeCell="B34" sqref="B34:C37"/>
    </sheetView>
  </sheetViews>
  <sheetFormatPr baseColWidth="10" defaultColWidth="11.42578125" defaultRowHeight="15" x14ac:dyDescent="0.25"/>
  <cols>
    <col min="1" max="1" width="15.42578125" customWidth="1"/>
    <col min="2" max="4" width="20.7109375" customWidth="1"/>
    <col min="5" max="5" width="17.7109375" bestFit="1" customWidth="1"/>
  </cols>
  <sheetData>
    <row r="1" spans="1:6" ht="32.25" thickBot="1" x14ac:dyDescent="0.5">
      <c r="A1" s="33" t="s">
        <v>40</v>
      </c>
      <c r="B1" s="33"/>
      <c r="C1" s="33"/>
      <c r="D1" s="33"/>
      <c r="E1" s="19">
        <v>281375</v>
      </c>
      <c r="F1" s="15"/>
    </row>
    <row r="2" spans="1:6" ht="15.75" thickTop="1" x14ac:dyDescent="0.25"/>
    <row r="3" spans="1:6" ht="54.75" customHeight="1" x14ac:dyDescent="0.25">
      <c r="A3" s="1"/>
      <c r="B3" s="2" t="s">
        <v>21</v>
      </c>
      <c r="C3" s="2" t="s">
        <v>22</v>
      </c>
      <c r="D3" s="2" t="s">
        <v>25</v>
      </c>
      <c r="E3" s="2" t="s">
        <v>26</v>
      </c>
    </row>
    <row r="4" spans="1:6" x14ac:dyDescent="0.25">
      <c r="B4" s="17">
        <v>61.1</v>
      </c>
      <c r="C4" s="17">
        <v>13.2</v>
      </c>
      <c r="D4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-0.2474416740000045</v>
      </c>
      <c r="E4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-0.57377942169998519</v>
      </c>
    </row>
    <row r="5" spans="1:6" x14ac:dyDescent="0.25">
      <c r="B5" s="17">
        <v>59.4</v>
      </c>
      <c r="C5" s="17">
        <v>12.1</v>
      </c>
      <c r="D5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0.20428823600000179</v>
      </c>
      <c r="E5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0.12845921919998737</v>
      </c>
    </row>
    <row r="6" spans="1:6" x14ac:dyDescent="0.25">
      <c r="B6" s="17">
        <v>58.5</v>
      </c>
      <c r="C6" s="17">
        <v>11.5</v>
      </c>
      <c r="D6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0.37494784999999808</v>
      </c>
      <c r="E6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0.39081216250001205</v>
      </c>
    </row>
    <row r="7" spans="1:6" x14ac:dyDescent="0.25">
      <c r="B7" s="17">
        <v>57.78</v>
      </c>
      <c r="C7" s="17">
        <v>11.2</v>
      </c>
      <c r="D7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0.66613153543999815</v>
      </c>
      <c r="E7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0.73719386708563306</v>
      </c>
    </row>
    <row r="8" spans="1:6" x14ac:dyDescent="0.25">
      <c r="B8" s="17">
        <v>56.9</v>
      </c>
      <c r="C8" s="17">
        <v>9.8000000000000007</v>
      </c>
      <c r="D8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-4.1904213999995221E-2</v>
      </c>
      <c r="E8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7.6745421700000094E-2</v>
      </c>
    </row>
    <row r="9" spans="1:6" x14ac:dyDescent="0.25">
      <c r="B9" s="17">
        <v>54.6</v>
      </c>
      <c r="C9" s="17">
        <v>7.7</v>
      </c>
      <c r="D9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-0.49228280400000113</v>
      </c>
      <c r="E9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-0.33597435519999674</v>
      </c>
    </row>
    <row r="10" spans="1:6" x14ac:dyDescent="0.25">
      <c r="B10" s="17">
        <v>53.2</v>
      </c>
      <c r="C10" s="17">
        <v>6.9</v>
      </c>
      <c r="D10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-0.40071853600000473</v>
      </c>
      <c r="E10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-0.26915001359997426</v>
      </c>
    </row>
    <row r="11" spans="1:6" x14ac:dyDescent="0.25">
      <c r="B11" s="17">
        <v>53</v>
      </c>
      <c r="C11" s="17">
        <v>6.8</v>
      </c>
      <c r="D11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-0.38030529999999363</v>
      </c>
      <c r="E11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-0.25449199999998218</v>
      </c>
    </row>
    <row r="12" spans="1:6" x14ac:dyDescent="0.25">
      <c r="B12" s="17"/>
      <c r="C12" s="17"/>
      <c r="D12" s="5" t="str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/>
      </c>
      <c r="E12" s="5" t="str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/>
      </c>
    </row>
    <row r="13" spans="1:6" x14ac:dyDescent="0.25">
      <c r="B13" s="17">
        <v>55.4</v>
      </c>
      <c r="C13" s="17">
        <v>8.1999999999999993</v>
      </c>
      <c r="D13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-0.53999008399999937</v>
      </c>
      <c r="E13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-0.38420839679999474</v>
      </c>
    </row>
    <row r="14" spans="1:6" x14ac:dyDescent="0.25">
      <c r="B14" s="17"/>
      <c r="C14" s="17"/>
      <c r="D14" s="5" t="str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/>
      </c>
      <c r="E14" s="5" t="str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/>
      </c>
    </row>
    <row r="15" spans="1:6" x14ac:dyDescent="0.25">
      <c r="B15" s="17">
        <v>37.799999999999997</v>
      </c>
      <c r="C15" s="17">
        <v>2.7</v>
      </c>
      <c r="D15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-0.41508323600000363</v>
      </c>
      <c r="E15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-7.159395839998961E-2</v>
      </c>
    </row>
    <row r="16" spans="1:6" x14ac:dyDescent="0.25">
      <c r="B16" s="18">
        <v>57</v>
      </c>
      <c r="C16" s="18">
        <v>10.1</v>
      </c>
      <c r="D16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0.18115830000001232</v>
      </c>
      <c r="E16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0.29543360000000085</v>
      </c>
    </row>
    <row r="17" spans="1:5" x14ac:dyDescent="0.25">
      <c r="B17" s="18">
        <v>50.2</v>
      </c>
      <c r="C17" s="18">
        <v>5.6</v>
      </c>
      <c r="D17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-7.7038556000006864E-2</v>
      </c>
      <c r="E17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-6.8672521599987491E-2</v>
      </c>
    </row>
    <row r="18" spans="1:5" x14ac:dyDescent="0.25">
      <c r="B18" s="18">
        <v>46.6</v>
      </c>
      <c r="C18" s="18">
        <v>4.7</v>
      </c>
      <c r="D18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0.45511063600000501</v>
      </c>
      <c r="E18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0.29948401280000514</v>
      </c>
    </row>
    <row r="19" spans="1:5" x14ac:dyDescent="0.25">
      <c r="B19" s="18">
        <v>44.6</v>
      </c>
      <c r="C19" s="18">
        <v>4</v>
      </c>
      <c r="D19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0.3073909959999952</v>
      </c>
      <c r="E19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0.10888140480000175</v>
      </c>
    </row>
    <row r="20" spans="1:5" x14ac:dyDescent="0.25">
      <c r="B20" s="18">
        <v>44.3</v>
      </c>
      <c r="C20" s="18">
        <v>3.8</v>
      </c>
      <c r="D20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0.17524045399999988</v>
      </c>
      <c r="E20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-2.437067689998873E-2</v>
      </c>
    </row>
    <row r="21" spans="1:5" x14ac:dyDescent="0.25">
      <c r="B21" s="18">
        <v>42.3</v>
      </c>
      <c r="C21" s="18">
        <v>3.5</v>
      </c>
      <c r="D21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0.22761953399999868</v>
      </c>
      <c r="E21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6.7670641100008311E-2</v>
      </c>
    </row>
    <row r="22" spans="1:5" x14ac:dyDescent="0.25">
      <c r="B22" s="18">
        <v>40.4</v>
      </c>
      <c r="C22" s="18">
        <v>3.1</v>
      </c>
      <c r="D22" s="5">
        <f xml:space="preserve"> IF( Table1[[#This Row],[measured °Plato]] &lt;&gt;  "", Table1[[#This Row],[measured °Plato]] - ( 0.0217284 * Table1[[#This Row],[measured angle (°)]] * Table1[[#This Row],[measured angle (°)]]  - 1.7054899 * Table1[[#This Row],[measured angle (°)]] + 36.5361944 ),"")</f>
        <v>1.3722159999987049E-3</v>
      </c>
      <c r="E22" s="5">
        <f xml:space="preserve"> IF( Table1[[#This Row],[measured °Plato]] &lt;&gt;  "", Table1[[#This Row],[measured °Plato]] - ( 0.0005797 * Table1[[#This Row],[measured angle (°)]] * Table1[[#This Row],[measured angle (°)]] * Table1[[#This Row],[measured angle (°)]]  - 0.0645469 * Table1[[#This Row],[measured angle (°)]] * Table1[[#This Row],[measured angle (°)]]  + 2.5245813 * Table1[[#This Row],[measured angle (°)]] - 31.7400717 ),"")</f>
        <v>-2.7135856799995306E-2</v>
      </c>
    </row>
    <row r="23" spans="1:5" x14ac:dyDescent="0.25">
      <c r="D23" s="4" t="s">
        <v>0</v>
      </c>
    </row>
    <row r="27" spans="1:5" ht="18" thickBot="1" x14ac:dyDescent="0.35">
      <c r="A27" s="34" t="s">
        <v>1</v>
      </c>
      <c r="B27" s="34"/>
      <c r="C27" s="34"/>
      <c r="D27" s="34"/>
      <c r="E27" s="34"/>
    </row>
    <row r="28" spans="1:5" ht="15.75" thickTop="1" x14ac:dyDescent="0.25">
      <c r="A28" s="16" t="s">
        <v>23</v>
      </c>
      <c r="B28" s="3" t="s">
        <v>43</v>
      </c>
      <c r="C28" s="3"/>
      <c r="D28" s="3"/>
      <c r="E28" s="3"/>
    </row>
    <row r="29" spans="1:5" x14ac:dyDescent="0.25">
      <c r="A29" s="16" t="s">
        <v>24</v>
      </c>
      <c r="B29" s="3" t="s">
        <v>44</v>
      </c>
      <c r="C29" s="3"/>
      <c r="D29" s="3"/>
      <c r="E29" s="3"/>
    </row>
    <row r="31" spans="1:5" ht="24" customHeight="1" x14ac:dyDescent="0.25"/>
    <row r="32" spans="1:5" ht="4.5" customHeight="1" thickBot="1" x14ac:dyDescent="0.3"/>
    <row r="33" spans="1:4" ht="15.75" thickBot="1" x14ac:dyDescent="0.3">
      <c r="B33" s="9" t="s">
        <v>4</v>
      </c>
      <c r="C33" s="10" t="s">
        <v>5</v>
      </c>
      <c r="D33" s="11" t="s">
        <v>6</v>
      </c>
    </row>
    <row r="34" spans="1:4" x14ac:dyDescent="0.25">
      <c r="A34" s="12" t="s">
        <v>2</v>
      </c>
      <c r="B34" s="27">
        <v>-31.740071700000001</v>
      </c>
      <c r="C34" s="28">
        <v>36.536194399999999</v>
      </c>
      <c r="D34" s="6">
        <v>-31.401283800000002</v>
      </c>
    </row>
    <row r="35" spans="1:4" x14ac:dyDescent="0.25">
      <c r="A35" s="13" t="s">
        <v>3</v>
      </c>
      <c r="B35" s="29">
        <v>2.5245812999999999</v>
      </c>
      <c r="C35" s="30">
        <v>-1.7054898999999999</v>
      </c>
      <c r="D35" s="7">
        <v>2.5311384499999998</v>
      </c>
    </row>
    <row r="36" spans="1:4" ht="17.25" x14ac:dyDescent="0.25">
      <c r="A36" s="13" t="s">
        <v>7</v>
      </c>
      <c r="B36" s="29">
        <v>-6.4546900000000004E-2</v>
      </c>
      <c r="C36" s="30">
        <v>2.1728399999999998E-2</v>
      </c>
      <c r="D36" s="7">
        <v>-6.5338220000000002E-2</v>
      </c>
    </row>
    <row r="37" spans="1:4" ht="18" thickBot="1" x14ac:dyDescent="0.3">
      <c r="A37" s="14" t="s">
        <v>8</v>
      </c>
      <c r="B37" s="31">
        <v>5.7970000000000005E-4</v>
      </c>
      <c r="C37" s="32"/>
      <c r="D37" s="8">
        <v>5.8956000000000004E-4</v>
      </c>
    </row>
  </sheetData>
  <sheetProtection sheet="1" objects="1" scenarios="1"/>
  <mergeCells count="2">
    <mergeCell ref="A1:D1"/>
    <mergeCell ref="A27:E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ibration.TrendlinieInZelle">
                <anchor moveWithCells="1">
                  <from>
                    <xdr:col>1</xdr:col>
                    <xdr:colOff>9525</xdr:colOff>
                    <xdr:row>24</xdr:row>
                    <xdr:rowOff>9525</xdr:rowOff>
                  </from>
                  <to>
                    <xdr:col>2</xdr:col>
                    <xdr:colOff>219075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ibration.Get_Spindle_Cal">
                <anchor moveWithCells="1" sizeWithCells="1">
                  <from>
                    <xdr:col>3</xdr:col>
                    <xdr:colOff>19050</xdr:colOff>
                    <xdr:row>30</xdr:row>
                    <xdr:rowOff>0</xdr:rowOff>
                  </from>
                  <to>
                    <xdr:col>3</xdr:col>
                    <xdr:colOff>1371600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libration.Send_3rd_Spindle_Cal">
                <anchor moveWithCells="1" sizeWithCells="1">
                  <from>
                    <xdr:col>0</xdr:col>
                    <xdr:colOff>752475</xdr:colOff>
                    <xdr:row>30</xdr:row>
                    <xdr:rowOff>28575</xdr:rowOff>
                  </from>
                  <to>
                    <xdr:col>1</xdr:col>
                    <xdr:colOff>1343025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ibration.Send_2nd_Spindle_Cal">
                <anchor moveWithCells="1" sizeWithCells="1">
                  <from>
                    <xdr:col>2</xdr:col>
                    <xdr:colOff>19050</xdr:colOff>
                    <xdr:row>30</xdr:row>
                    <xdr:rowOff>19050</xdr:rowOff>
                  </from>
                  <to>
                    <xdr:col>2</xdr:col>
                    <xdr:colOff>1371600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92D6A-442B-45EE-915A-2F7CE3D8A7C3}">
  <sheetPr codeName="Database"/>
  <dimension ref="A1:G13"/>
  <sheetViews>
    <sheetView workbookViewId="0">
      <selection activeCell="B8" sqref="B8"/>
    </sheetView>
  </sheetViews>
  <sheetFormatPr baseColWidth="10" defaultRowHeight="15" x14ac:dyDescent="0.25"/>
  <cols>
    <col min="2" max="2" width="24.42578125" bestFit="1" customWidth="1"/>
    <col min="3" max="3" width="15.85546875" bestFit="1" customWidth="1"/>
  </cols>
  <sheetData>
    <row r="1" spans="1:7" ht="15.75" thickBot="1" x14ac:dyDescent="0.3">
      <c r="A1" s="22" t="s">
        <v>10</v>
      </c>
      <c r="B1" s="21" t="s">
        <v>11</v>
      </c>
      <c r="C1" s="22" t="s">
        <v>27</v>
      </c>
      <c r="F1">
        <v>1</v>
      </c>
      <c r="G1" t="s">
        <v>29</v>
      </c>
    </row>
    <row r="2" spans="1:7" x14ac:dyDescent="0.25">
      <c r="A2" s="23" t="s">
        <v>19</v>
      </c>
      <c r="B2" s="7" t="s">
        <v>20</v>
      </c>
      <c r="C2" s="25"/>
      <c r="F2">
        <v>2</v>
      </c>
      <c r="G2" t="s">
        <v>30</v>
      </c>
    </row>
    <row r="3" spans="1:7" x14ac:dyDescent="0.25">
      <c r="A3" s="23" t="s">
        <v>9</v>
      </c>
      <c r="B3" s="20" t="s">
        <v>42</v>
      </c>
      <c r="C3" s="25" t="s">
        <v>28</v>
      </c>
      <c r="F3">
        <v>3</v>
      </c>
      <c r="G3" t="s">
        <v>31</v>
      </c>
    </row>
    <row r="4" spans="1:7" x14ac:dyDescent="0.25">
      <c r="A4" s="23" t="s">
        <v>12</v>
      </c>
      <c r="B4" s="7" t="s">
        <v>16</v>
      </c>
      <c r="C4" s="25"/>
      <c r="F4">
        <v>4</v>
      </c>
      <c r="G4" t="s">
        <v>32</v>
      </c>
    </row>
    <row r="5" spans="1:7" x14ac:dyDescent="0.25">
      <c r="A5" s="23" t="s">
        <v>13</v>
      </c>
      <c r="B5" s="7">
        <v>3306</v>
      </c>
      <c r="C5" s="25"/>
      <c r="F5">
        <v>5</v>
      </c>
      <c r="G5" t="s">
        <v>33</v>
      </c>
    </row>
    <row r="6" spans="1:7" x14ac:dyDescent="0.25">
      <c r="A6" s="23" t="s">
        <v>14</v>
      </c>
      <c r="B6" s="7" t="s">
        <v>16</v>
      </c>
      <c r="C6" s="25"/>
      <c r="F6">
        <v>6</v>
      </c>
      <c r="G6" t="s">
        <v>41</v>
      </c>
    </row>
    <row r="7" spans="1:7" x14ac:dyDescent="0.25">
      <c r="A7" s="23" t="s">
        <v>15</v>
      </c>
      <c r="B7" s="7" t="s">
        <v>45</v>
      </c>
      <c r="C7" s="25"/>
      <c r="F7">
        <v>7</v>
      </c>
      <c r="G7" t="s">
        <v>34</v>
      </c>
    </row>
    <row r="8" spans="1:7" ht="15.75" thickBot="1" x14ac:dyDescent="0.3">
      <c r="A8" s="24" t="s">
        <v>17</v>
      </c>
      <c r="B8" s="8" t="s">
        <v>18</v>
      </c>
      <c r="C8" s="26"/>
      <c r="F8">
        <v>8</v>
      </c>
      <c r="G8" t="s">
        <v>35</v>
      </c>
    </row>
    <row r="9" spans="1:7" x14ac:dyDescent="0.25">
      <c r="F9">
        <v>9</v>
      </c>
      <c r="G9" t="s">
        <v>36</v>
      </c>
    </row>
    <row r="10" spans="1:7" x14ac:dyDescent="0.25">
      <c r="F10">
        <v>10</v>
      </c>
      <c r="G10" t="s">
        <v>37</v>
      </c>
    </row>
    <row r="11" spans="1:7" x14ac:dyDescent="0.25">
      <c r="F11">
        <v>11</v>
      </c>
      <c r="G11" t="s">
        <v>38</v>
      </c>
    </row>
    <row r="13" spans="1:7" x14ac:dyDescent="0.25">
      <c r="G13" t="s">
        <v>39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Calibration</vt:lpstr>
      <vt:lpstr>Database Connection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2021-02-01T14:53:57Z</dcterms:modified>
</cp:coreProperties>
</file>